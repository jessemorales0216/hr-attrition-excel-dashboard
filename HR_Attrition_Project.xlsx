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xr:revisionPtr revIDLastSave="0" documentId="8_{21739895-A161-495B-A988-6F73EAD9DAE8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Table Attrition" sheetId="1" r:id="rId1"/>
    <sheet name="KPI" sheetId="2" r:id="rId2"/>
    <sheet name="Department Analysis" sheetId="8" r:id="rId3"/>
    <sheet name="Dashboard" sheetId="11" r:id="rId4"/>
    <sheet name="Overtime Analysis Full Table" sheetId="7" r:id="rId5"/>
    <sheet name="Overtime Analysis Chart" sheetId="10" r:id="rId6"/>
    <sheet name="Job Role Analysis" sheetId="9" r:id="rId7"/>
    <sheet name="Sheet1" sheetId="12" r:id="rId8"/>
  </sheets>
  <calcPr calcId="191028"/>
  <pivotCaches>
    <pivotCache cacheId="3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E6" i="12"/>
  <c r="E7" i="12"/>
  <c r="E8" i="12"/>
</calcChain>
</file>

<file path=xl/sharedStrings.xml><?xml version="1.0" encoding="utf-8"?>
<sst xmlns="http://schemas.openxmlformats.org/spreadsheetml/2006/main" count="13346" uniqueCount="67">
  <si>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</si>
  <si>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</si>
  <si>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</si>
  <si>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</si>
  <si>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</si>
  <si>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</si>
  <si>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</si>
  <si>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</si>
  <si>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</si>
  <si>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</si>
  <si>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</si>
  <si>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</si>
  <si>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</si>
  <si>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</si>
  <si>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</si>
  <si>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</si>
  <si>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</si>
  <si>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MartialStatus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</si>
  <si>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</si>
  <si>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</si>
  <si>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</si>
  <si>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</si>
  <si>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</si>
  <si>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</si>
  <si>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</si>
  <si>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</si>
  <si>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</si>
  <si>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</si>
  <si>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</si>
  <si>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</si>
  <si>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</si>
  <si>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</si>
  <si>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</si>
  <si>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</si>
  <si>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</si>
  <si>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</si>
  <si>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</si>
  <si>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</si>
  <si>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</si>
  <si>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</si>
  <si>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</si>
  <si>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</si>
  <si>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</si>
  <si>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</si>
  <si>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</si>
  <si>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</si>
  <si>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</si>
  <si>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</si>
  <si>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</si>
  <si>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</si>
  <si>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</si>
  <si>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</si>
  <si>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</si>
  <si>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</si>
  <si>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</si>
  <si>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</si>
  <si>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</si>
  <si>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</si>
  <si>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</si>
  <si>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</si>
  <si>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</si>
  <si>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</si>
  <si>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</si>
  <si>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Employees Left</t>
  </si>
  <si>
    <t>Attrition Rate</t>
  </si>
  <si>
    <t>Count of EmployeeNumber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</si>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</sst>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FFFFFF"/>
      <name val="American Typewriter"/>
      <charset val="1"/>
    </font>
    <font>
      <b/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1E1E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0" fontId="1" fillId="2" borderId="1" xfId="0" applyNumberFormat="1" applyFont="1" applyFill="1" applyBorder="1" applyAlignment="1">
      <alignment wrapText="1"/>
    </xf>
    <xf numFmtId="10" fontId="0" fillId="0" borderId="0" xfId="0" applyNumberFormat="1"/>
    <xf numFmtId="0" fontId="2" fillId="0" borderId="0" xfId="0" applyFont="1"/>
    <xf numFmtId="0" fontId="1" fillId="3" borderId="1" xfId="0" applyFont="1" applyFill="1" applyBorder="1" applyAlignment="1">
      <alignment horizontal="center" wrapText="1"/>
    </xf>
    <xf numFmtId="10" fontId="1" fillId="2" borderId="1" xfId="0" applyNumberFormat="1" applyFont="1" applyFill="1" applyBorder="1" applyAlignment="1">
      <alignment horizontal="left"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Analysis'!$A$1:$A$3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'Department Analysis'!$D$1:$D$3</c:f>
              <c:numCache>
                <c:formatCode>0.00%</c:formatCode>
                <c:ptCount val="3"/>
                <c:pt idx="0">
                  <c:v>0.20627802690583</c:v>
                </c:pt>
                <c:pt idx="1">
                  <c:v>0.19047619047618999</c:v>
                </c:pt>
                <c:pt idx="2">
                  <c:v>0.138397502601457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4-46C0-A40E-0FF98EB45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01223"/>
        <c:axId val="201807367"/>
      </c:barChart>
      <c:catAx>
        <c:axId val="201801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7367"/>
        <c:crosses val="autoZero"/>
        <c:auto val="1"/>
        <c:lblAlgn val="ctr"/>
        <c:lblOffset val="100"/>
        <c:noMultiLvlLbl val="0"/>
      </c:catAx>
      <c:valAx>
        <c:axId val="201807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1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vs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 Chart'!$A$1:$A$2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Analysis Chart'!$B$1:$B$2</c:f>
              <c:numCache>
                <c:formatCode>0.00%</c:formatCode>
                <c:ptCount val="2"/>
                <c:pt idx="0">
                  <c:v>0.104364326375712</c:v>
                </c:pt>
                <c:pt idx="1">
                  <c:v>0.30528846153846201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B-4F73-AE7E-3E9075F92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105032"/>
        <c:axId val="559107080"/>
      </c:barChart>
      <c:catAx>
        <c:axId val="559105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07080"/>
        <c:crosses val="autoZero"/>
        <c:auto val="1"/>
        <c:lblAlgn val="ctr"/>
        <c:lblOffset val="100"/>
        <c:noMultiLvlLbl val="0"/>
      </c:catAx>
      <c:valAx>
        <c:axId val="559107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0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Role Analysis'!$A$1:$A$9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 Analysis'!$B$1:$B$9</c:f>
              <c:numCache>
                <c:formatCode>0.00%</c:formatCode>
                <c:ptCount val="9"/>
                <c:pt idx="0">
                  <c:v>0.39759036144578302</c:v>
                </c:pt>
                <c:pt idx="1">
                  <c:v>0.23938223938223899</c:v>
                </c:pt>
                <c:pt idx="2">
                  <c:v>0.230769230769231</c:v>
                </c:pt>
                <c:pt idx="3">
                  <c:v>0.17484662576687099</c:v>
                </c:pt>
                <c:pt idx="4">
                  <c:v>0.16095890410958899</c:v>
                </c:pt>
                <c:pt idx="5">
                  <c:v>6.8965517241379296E-2</c:v>
                </c:pt>
                <c:pt idx="6">
                  <c:v>6.8702290076335895E-2</c:v>
                </c:pt>
                <c:pt idx="7">
                  <c:v>4.9019607843137303E-2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A-4681-B8A7-0CA7EBBD5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652808"/>
        <c:axId val="1976686088"/>
      </c:barChart>
      <c:catAx>
        <c:axId val="1976652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Role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86088"/>
        <c:crosses val="autoZero"/>
        <c:auto val="1"/>
        <c:lblAlgn val="ctr"/>
        <c:lblOffset val="100"/>
        <c:noMultiLvlLbl val="0"/>
      </c:catAx>
      <c:valAx>
        <c:axId val="1976686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52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Analysis'!$A$1:$A$3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'Department Analysis'!$D$1:$D$3</c:f>
              <c:numCache>
                <c:formatCode>0.00%</c:formatCode>
                <c:ptCount val="3"/>
                <c:pt idx="0">
                  <c:v>0.20627802690583</c:v>
                </c:pt>
                <c:pt idx="1">
                  <c:v>0.19047619047618999</c:v>
                </c:pt>
                <c:pt idx="2">
                  <c:v>0.138397502601457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A-41F2-95C4-07BE8B297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01223"/>
        <c:axId val="201807367"/>
      </c:barChart>
      <c:catAx>
        <c:axId val="201801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7367"/>
        <c:crosses val="autoZero"/>
        <c:auto val="1"/>
        <c:lblAlgn val="ctr"/>
        <c:lblOffset val="100"/>
        <c:noMultiLvlLbl val="0"/>
      </c:catAx>
      <c:valAx>
        <c:axId val="201807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1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 Chart'!$A$1:$A$2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Analysis Chart'!$B$1:$B$2</c:f>
              <c:numCache>
                <c:formatCode>0.00%</c:formatCode>
                <c:ptCount val="2"/>
                <c:pt idx="0">
                  <c:v>0.104364326375712</c:v>
                </c:pt>
                <c:pt idx="1">
                  <c:v>0.30528846153846201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0-45A2-B3CC-C8E688D36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105032"/>
        <c:axId val="559107080"/>
      </c:barChart>
      <c:catAx>
        <c:axId val="559105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07080"/>
        <c:crosses val="autoZero"/>
        <c:auto val="1"/>
        <c:lblAlgn val="ctr"/>
        <c:lblOffset val="100"/>
        <c:noMultiLvlLbl val="0"/>
      </c:catAx>
      <c:valAx>
        <c:axId val="559107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0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Role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Role Analysis'!$A$1:$A$9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 Analysis'!$B$1:$B$9</c:f>
              <c:numCache>
                <c:formatCode>0.00%</c:formatCode>
                <c:ptCount val="9"/>
                <c:pt idx="0">
                  <c:v>0.39759036144578302</c:v>
                </c:pt>
                <c:pt idx="1">
                  <c:v>0.23938223938223899</c:v>
                </c:pt>
                <c:pt idx="2">
                  <c:v>0.230769230769231</c:v>
                </c:pt>
                <c:pt idx="3">
                  <c:v>0.17484662576687099</c:v>
                </c:pt>
                <c:pt idx="4">
                  <c:v>0.16095890410958899</c:v>
                </c:pt>
                <c:pt idx="5">
                  <c:v>6.8965517241379296E-2</c:v>
                </c:pt>
                <c:pt idx="6">
                  <c:v>6.8702290076335895E-2</c:v>
                </c:pt>
                <c:pt idx="7">
                  <c:v>4.9019607843137303E-2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E-49F4-90C7-E3A2E1D26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652808"/>
        <c:axId val="1976686088"/>
      </c:barChart>
      <c:catAx>
        <c:axId val="1976652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Role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86088"/>
        <c:crosses val="autoZero"/>
        <c:auto val="1"/>
        <c:lblAlgn val="ctr"/>
        <c:lblOffset val="100"/>
        <c:noMultiLvlLbl val="0"/>
      </c:catAx>
      <c:valAx>
        <c:axId val="1976686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652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[HR_Attrition_Project.xlsx]Sheet1!PivotTable1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9-4264-9447-9FB0D0A2BAE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9-4264-9447-9FB0D0A2B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078920"/>
        <c:axId val="224207368"/>
      </c:barChart>
      <c:catAx>
        <c:axId val="22307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07368"/>
        <c:crosses val="autoZero"/>
        <c:auto val="1"/>
        <c:lblAlgn val="ctr"/>
        <c:lblOffset val="100"/>
        <c:noMultiLvlLbl val="0"/>
      </c:catAx>
      <c:valAx>
        <c:axId val="22420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7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3</xdr:row>
      <xdr:rowOff>171450</xdr:rowOff>
    </xdr:from>
    <xdr:to>
      <xdr:col>12</xdr:col>
      <xdr:colOff>247650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BA89E-1278-44F5-890C-86EF41422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13</xdr:row>
      <xdr:rowOff>9525</xdr:rowOff>
    </xdr:from>
    <xdr:to>
      <xdr:col>12</xdr:col>
      <xdr:colOff>295275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35477-3AB3-459B-A51B-B920D4A3E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31</xdr:row>
      <xdr:rowOff>0</xdr:rowOff>
    </xdr:from>
    <xdr:to>
      <xdr:col>24</xdr:col>
      <xdr:colOff>600075</xdr:colOff>
      <xdr:row>51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FABE4-1E61-474A-A13C-B8D92B14260C}"/>
            </a:ext>
            <a:ext uri="{147F2762-F138-4A5C-976F-8EAC2B608ADB}">
              <a16:predDERef xmlns:a16="http://schemas.microsoft.com/office/drawing/2014/main" pred="{9FB35477-3AB3-459B-A51B-B920D4A3E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13</xdr:row>
      <xdr:rowOff>19050</xdr:rowOff>
    </xdr:from>
    <xdr:to>
      <xdr:col>24</xdr:col>
      <xdr:colOff>600075</xdr:colOff>
      <xdr:row>30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F5BDEF-EB5F-441A-B4D4-F611BEC04497}"/>
            </a:ext>
            <a:ext uri="{147F2762-F138-4A5C-976F-8EAC2B608ADB}">
              <a16:predDERef xmlns:a16="http://schemas.microsoft.com/office/drawing/2014/main" pred="{2A3FABE4-1E61-474A-A13C-B8D92B142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13</xdr:row>
      <xdr:rowOff>9525</xdr:rowOff>
    </xdr:from>
    <xdr:to>
      <xdr:col>17</xdr:col>
      <xdr:colOff>295275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97F32-BDED-A2B7-F8A4-9DA995C10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152400</xdr:rowOff>
    </xdr:from>
    <xdr:to>
      <xdr:col>16</xdr:col>
      <xdr:colOff>352425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9F6B4-B54D-54C2-78CC-41CB94678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8</xdr:row>
      <xdr:rowOff>47625</xdr:rowOff>
    </xdr:from>
    <xdr:to>
      <xdr:col>13</xdr:col>
      <xdr:colOff>171450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DDCCB2-B24B-963C-5B1F-31051A7E0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611789236114" createdVersion="8" refreshedVersion="8" minRefreshableVersion="3" recordCount="1470" xr:uid="{D9D67D6F-A189-49F8-9741-72223A01339C}">
  <cacheSource type="worksheet">
    <worksheetSource ref="A1:AI1471" sheet="Table Attritio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ti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9114105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996AE-1C8E-4AA2-BEDB-549B37C3598E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8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1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selection activeCell="F4" sqref="A1:AI1471"/>
    </sheetView>
  </sheetViews>
  <sheetFormatPr defaultRowHeight="15"/>
  <cols>
    <col min="3" max="3" width="18.28515625" customWidth="1"/>
    <col min="4" max="4" width="10.140625" customWidth="1"/>
    <col min="5" max="5" width="15.7109375" customWidth="1"/>
    <col min="6" max="6" width="18.7109375" customWidth="1"/>
    <col min="7" max="7" width="10.42578125" customWidth="1"/>
    <col min="8" max="8" width="14.28515625" customWidth="1"/>
    <col min="9" max="9" width="15" customWidth="1"/>
    <col min="10" max="10" width="17.140625" customWidth="1"/>
    <col min="11" max="11" width="22.7109375" customWidth="1"/>
    <col min="13" max="13" width="11" customWidth="1"/>
    <col min="14" max="14" width="16" customWidth="1"/>
    <col min="16" max="16" width="16.140625" customWidth="1"/>
    <col min="17" max="17" width="14.5703125" customWidth="1"/>
    <col min="18" max="18" width="13" customWidth="1"/>
    <col min="19" max="19" width="16.140625" customWidth="1"/>
    <col min="20" max="20" width="12.140625" customWidth="1"/>
    <col min="21" max="21" width="23.140625" customWidth="1"/>
    <col min="23" max="23" width="10.28515625" customWidth="1"/>
    <col min="24" max="24" width="17.85546875" customWidth="1"/>
    <col min="25" max="25" width="19.5703125" customWidth="1"/>
    <col min="26" max="26" width="22.42578125" customWidth="1"/>
    <col min="27" max="27" width="15.5703125" customWidth="1"/>
    <col min="28" max="28" width="16.7109375" customWidth="1"/>
    <col min="29" max="29" width="18.140625" customWidth="1"/>
    <col min="30" max="30" width="21.7109375" customWidth="1"/>
    <col min="31" max="31" width="17.140625" customWidth="1"/>
    <col min="32" max="32" width="17" customWidth="1"/>
    <col min="33" max="33" width="18.5703125" customWidth="1"/>
    <col min="34" max="34" width="22.7109375" customWidth="1"/>
    <col min="35" max="35" width="21.855468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27.7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ht="27.7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ht="27.7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ht="27.7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ht="27.7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ht="27.7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ht="27.7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ht="27.7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ht="27.7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ht="27.7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ht="27.7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ht="27.7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ht="27.7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ht="27.7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ht="27.7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ht="27.7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ht="27.7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ht="27.7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ht="27.7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ht="27.7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ht="27.7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ht="27.7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ht="27.7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ht="27.7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ht="27.7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ht="27.7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ht="27.7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ht="27.7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ht="27.7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ht="27.7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ht="27.7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ht="27.7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ht="27.7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ht="27.7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ht="27.7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ht="27.7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ht="27.7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ht="27.7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ht="27.7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ht="27.7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ht="27.7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ht="27.7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ht="27.7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ht="27.7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ht="27.7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ht="27.7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ht="27.7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ht="27.7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ht="27.7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ht="27.7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ht="27.7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ht="27.7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ht="27.7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ht="27.7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ht="27.7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ht="27.7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ht="27.7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ht="27.7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ht="27.7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ht="27.7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ht="27.7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ht="27.7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ht="27.7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ht="27.7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ht="27.7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ht="27.7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ht="27.7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ht="27.7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ht="27.7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ht="27.7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ht="27.7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ht="27.7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ht="27.7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ht="27.7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ht="27.7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ht="27.7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ht="27.7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ht="27.7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ht="27.7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ht="27.7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ht="27.7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ht="27.7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ht="27.7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ht="27.7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ht="27.7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ht="27.7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ht="27.7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ht="27.7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ht="27.7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ht="27.7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ht="27.7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ht="27.7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ht="27.7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ht="27.7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ht="27.7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ht="27.7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ht="27.7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ht="27.7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ht="27.7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ht="27.7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ht="27.7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ht="27.7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ht="27.7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ht="27.7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ht="27.7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ht="27.7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ht="27.7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ht="27.7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ht="27.7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ht="27.7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ht="27.7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ht="27.7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ht="27.7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ht="27.7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ht="27.7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ht="27.7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ht="27.7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ht="27.7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ht="27.7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ht="27.7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ht="27.7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ht="27.7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ht="27.7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ht="27.7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ht="27.7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ht="27.7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ht="27.7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ht="27.7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ht="27.7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ht="27.7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ht="27.7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ht="27.7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ht="27.7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ht="27.7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ht="27.7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ht="27.7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ht="27.7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ht="27.7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ht="27.7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ht="27.7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ht="27.7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ht="27.7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ht="27.7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ht="27.7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ht="27.7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ht="27.7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ht="27.7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ht="27.7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ht="27.7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ht="27.7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ht="27.7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ht="27.7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ht="27.7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ht="27.7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ht="27.7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ht="27.7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ht="27.7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ht="27.7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ht="27.7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ht="27.7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ht="27.7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ht="27.7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ht="27.7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ht="27.7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ht="27.7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ht="27.7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ht="27.7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ht="27.7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ht="27.7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ht="27.7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ht="27.7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ht="27.7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ht="27.7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ht="27.7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ht="27.7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ht="27.7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ht="27.7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ht="27.7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ht="27.7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ht="27.7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ht="27.7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ht="27.7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ht="27.7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ht="27.7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ht="27.7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ht="27.7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ht="27.7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ht="27.7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ht="27.7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ht="27.7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ht="27.7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ht="27.7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ht="27.7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ht="27.7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ht="27.7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ht="27.7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ht="27.7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ht="27.7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ht="27.7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ht="27.7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ht="27.7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ht="27.7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ht="27.7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ht="27.7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ht="27.7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ht="27.7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ht="27.7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ht="27.7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ht="27.7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ht="27.7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ht="27.7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ht="27.7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ht="27.7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ht="27.7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ht="27.7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ht="27.7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ht="27.7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ht="27.7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ht="27.7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ht="27.7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ht="27.7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ht="27.7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ht="27.7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ht="27.7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ht="27.7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ht="27.7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ht="27.7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ht="27.7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ht="27.7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ht="27.7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ht="27.7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ht="27.7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ht="27.7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ht="27.7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ht="27.7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ht="27.7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ht="27.7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ht="27.7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ht="27.7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ht="27.7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ht="27.7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ht="27.7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ht="27.7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ht="27.7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ht="27.7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ht="27.7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ht="27.7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ht="27.7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ht="27.7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ht="27.7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ht="27.7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ht="27.7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ht="27.7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ht="27.7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ht="27.7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ht="27.7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ht="27.7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ht="27.7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ht="27.7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ht="27.7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ht="27.7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ht="27.7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ht="27.7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ht="27.7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ht="27.7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ht="27.7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ht="27.7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ht="27.7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ht="27.7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ht="27.7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ht="27.7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ht="27.7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ht="27.7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ht="27.7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ht="27.7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ht="27.7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ht="27.7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ht="27.7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ht="27.7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ht="27.7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ht="27.7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ht="27.7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ht="27.7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ht="27.7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ht="27.7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ht="27.7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ht="27.7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ht="27.7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ht="27.7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ht="27.7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ht="27.7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ht="27.7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ht="27.7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ht="27.7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ht="27.7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ht="27.7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ht="27.7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ht="27.7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ht="27.7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ht="27.7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ht="27.7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ht="27.7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ht="27.7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ht="27.7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ht="27.7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ht="27.7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ht="27.7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ht="27.7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ht="27.7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ht="27.7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ht="27.7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ht="27.7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ht="27.7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ht="27.7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ht="27.7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ht="27.7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ht="27.7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ht="27.7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ht="27.7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ht="27.7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ht="27.7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ht="27.7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ht="27.7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ht="27.7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ht="27.7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ht="27.7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ht="27.7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ht="27.7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ht="27.7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ht="27.7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ht="27.7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ht="27.7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ht="27.7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ht="27.7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ht="27.7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ht="27.7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ht="27.7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ht="27.7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ht="27.7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ht="27.7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ht="27.7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ht="27.7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ht="27.7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ht="27.7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ht="27.7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ht="27.7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ht="27.7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ht="27.7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ht="27.7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ht="27.7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ht="27.7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ht="27.7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ht="27.7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ht="27.7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ht="27.7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ht="27.7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ht="27.7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ht="27.7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ht="27.7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ht="27.7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ht="27.7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ht="27.7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ht="27.7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ht="27.7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ht="27.7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ht="27.7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ht="27.7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ht="27.7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ht="27.7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ht="27.7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ht="27.7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ht="27.7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ht="27.7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ht="27.7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ht="27.7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ht="27.7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ht="27.7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ht="27.7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ht="27.7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ht="27.7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ht="27.7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ht="27.7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ht="27.7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ht="27.7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ht="27.7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ht="27.7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ht="27.7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ht="27.7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ht="27.7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ht="27.7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ht="27.7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ht="27.7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ht="27.7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ht="27.7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ht="27.7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ht="27.7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ht="27.7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ht="27.7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ht="27.7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ht="27.7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ht="27.7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ht="27.7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ht="27.7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ht="27.7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ht="27.7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ht="27.7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ht="27.7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ht="27.7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ht="27.7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ht="27.7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ht="27.7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ht="27.7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ht="27.7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ht="27.7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ht="27.7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ht="27.7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ht="27.7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ht="27.7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ht="27.7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ht="27.7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ht="27.7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ht="27.7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ht="27.7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ht="27.7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ht="27.7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ht="27.7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ht="27.7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ht="27.7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ht="27.7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ht="27.7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ht="27.7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ht="27.7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ht="27.7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ht="27.7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ht="27.7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ht="27.7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ht="27.7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ht="27.7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ht="27.7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ht="27.7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ht="27.7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ht="27.7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ht="27.7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ht="27.7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ht="27.7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ht="27.7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ht="27.7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ht="27.7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ht="27.7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ht="27.7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ht="27.7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ht="27.7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ht="27.7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ht="27.7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ht="27.7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ht="27.7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ht="27.7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ht="27.7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ht="27.7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ht="27.7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ht="27.7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ht="27.7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ht="27.7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ht="27.7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ht="27.7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ht="27.7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ht="27.7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ht="27.7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ht="27.7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ht="27.7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ht="27.7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ht="27.7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ht="27.7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ht="27.7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ht="27.7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ht="27.7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ht="27.7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ht="27.7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ht="27.7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ht="27.7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ht="27.7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ht="27.7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ht="27.7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ht="27.7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ht="27.7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ht="27.7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ht="27.7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ht="27.7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ht="27.7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ht="27.7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ht="27.7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ht="27.7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ht="27.7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ht="27.7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ht="27.7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ht="27.7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ht="27.7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ht="27.7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ht="27.7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ht="27.7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ht="27.7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ht="27.7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ht="27.7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ht="27.7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ht="27.7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ht="27.7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ht="27.7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ht="27.7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ht="27.7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ht="27.7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ht="27.7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ht="27.7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ht="27.7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ht="27.7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ht="27.7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ht="27.7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ht="27.7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ht="27.7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ht="27.7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ht="27.7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ht="27.7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ht="27.7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ht="27.7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ht="27.7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ht="27.7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ht="27.7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ht="27.7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ht="27.7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ht="27.7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ht="27.7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ht="27.7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ht="27.7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ht="27.7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ht="27.7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ht="27.7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ht="27.7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ht="27.7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ht="27.7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ht="27.7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ht="27.7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ht="27.7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ht="27.7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ht="27.7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ht="27.7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ht="27.7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ht="27.7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ht="27.7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ht="27.7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ht="27.7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ht="27.7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ht="27.7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ht="27.7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ht="27.7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ht="27.7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ht="27.7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ht="27.7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ht="27.7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ht="27.7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ht="27.7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ht="27.7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ht="27.7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ht="27.7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ht="27.7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ht="27.7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ht="27.7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ht="27.7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ht="27.7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ht="27.7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ht="27.7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ht="27.7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ht="27.7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ht="27.7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ht="27.7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ht="27.7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ht="27.7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ht="27.7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ht="27.7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ht="27.7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ht="27.7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ht="27.7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ht="27.7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ht="27.7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ht="27.7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ht="27.7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ht="27.7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ht="27.7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ht="27.7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ht="27.7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ht="27.7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ht="27.7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ht="27.7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ht="27.7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ht="27.7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ht="27.7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ht="27.7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ht="27.7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ht="27.7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ht="27.7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ht="27.7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ht="27.7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ht="27.7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ht="27.7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ht="27.7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ht="27.7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ht="27.7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ht="27.7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ht="27.7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ht="27.7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ht="27.7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ht="27.7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ht="27.7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ht="27.7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ht="27.7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ht="27.7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ht="27.7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ht="27.7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ht="27.7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ht="27.7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ht="27.7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ht="27.7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ht="27.7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ht="27.7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ht="27.7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ht="27.7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ht="27.7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ht="27.7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ht="27.7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ht="27.7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ht="27.7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ht="27.7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ht="27.7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ht="27.7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ht="27.7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ht="27.7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ht="27.7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ht="27.7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ht="27.7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ht="27.7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ht="27.7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ht="27.7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ht="27.7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ht="27.7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ht="27.7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ht="27.7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ht="27.7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ht="27.7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ht="27.7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ht="27.7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ht="27.7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ht="27.7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ht="27.7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ht="27.7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ht="27.7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ht="27.7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ht="27.7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ht="27.7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ht="27.7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ht="27.7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ht="27.7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ht="27.7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ht="27.7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ht="27.7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ht="27.7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ht="27.7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ht="27.7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ht="27.7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ht="27.7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ht="27.7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ht="27.7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ht="27.7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ht="27.7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ht="27.7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ht="27.7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ht="27.7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ht="27.7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ht="27.7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ht="27.7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ht="27.7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ht="27.7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ht="27.7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ht="27.7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ht="27.7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ht="27.7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ht="27.7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ht="27.7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ht="27.7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ht="27.7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ht="27.7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ht="27.7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ht="27.7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ht="27.7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ht="27.7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ht="27.7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ht="27.7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ht="27.7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ht="27.7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ht="27.7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ht="27.7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ht="27.7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ht="27.7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ht="27.7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ht="27.7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ht="27.7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ht="27.7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ht="27.7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ht="27.7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ht="27.7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ht="27.7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ht="27.7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ht="27.7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ht="27.7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ht="27.7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ht="27.7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ht="27.7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ht="27.7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ht="27.7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ht="27.7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ht="27.7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ht="27.7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ht="27.7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ht="27.7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ht="27.7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ht="27.7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ht="27.7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ht="27.7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ht="27.7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ht="27.7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ht="27.7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ht="27.7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ht="27.7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ht="27.7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ht="27.7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ht="27.7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ht="27.7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ht="27.7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ht="27.7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ht="27.7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ht="27.7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ht="27.7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ht="27.7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ht="27.7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ht="27.7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ht="27.7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ht="27.7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ht="27.7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ht="27.7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ht="27.7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ht="27.7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ht="27.7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ht="27.7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ht="27.7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ht="27.7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ht="27.7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ht="27.7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ht="27.7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ht="27.7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ht="27.7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ht="27.7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ht="27.7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ht="27.7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ht="27.7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ht="27.7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ht="27.7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ht="27.7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ht="27.7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ht="27.7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ht="27.7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ht="27.7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ht="27.7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ht="27.7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ht="27.7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ht="27.7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ht="27.7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ht="27.7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ht="27.7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ht="27.7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ht="27.7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ht="27.7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ht="27.7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ht="27.7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ht="27.7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ht="27.7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ht="27.7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ht="27.7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ht="27.7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ht="27.7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ht="27.7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ht="27.7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ht="27.7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ht="27.7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ht="27.7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ht="27.7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ht="27.7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ht="27.7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ht="27.7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ht="27.7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ht="27.7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ht="27.7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ht="27.7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ht="27.7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ht="27.7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ht="27.7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ht="27.7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ht="27.7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ht="27.7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ht="27.7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ht="27.7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ht="27.7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ht="27.7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ht="27.7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ht="27.7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ht="27.7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ht="27.7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ht="27.7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ht="27.7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ht="27.7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ht="27.7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ht="27.7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ht="27.7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ht="27.7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ht="27.7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ht="27.7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ht="27.7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ht="27.7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ht="27.7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ht="27.7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ht="27.7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ht="27.7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ht="27.7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ht="27.7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ht="27.7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ht="27.7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ht="27.7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ht="27.7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ht="27.7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ht="27.7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ht="27.7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ht="27.7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ht="27.7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ht="27.7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ht="27.7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ht="27.7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ht="27.7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ht="27.7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ht="27.7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ht="27.7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ht="27.7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ht="27.7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ht="27.7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ht="27.7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ht="27.7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ht="27.7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ht="27.7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ht="27.7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ht="27.7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ht="27.7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ht="27.7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ht="27.7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ht="27.7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ht="27.7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ht="27.7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ht="27.7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ht="27.7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ht="27.7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ht="27.7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ht="27.7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ht="27.7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ht="27.7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ht="27.7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ht="27.7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ht="27.7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ht="27.7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ht="27.7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ht="27.7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ht="27.7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ht="27.7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ht="27.7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ht="27.7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ht="27.7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ht="27.7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ht="27.7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ht="27.7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ht="27.7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ht="27.7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ht="27.7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ht="27.7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ht="27.7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ht="27.7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ht="27.7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ht="27.7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ht="27.7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ht="27.7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ht="27.7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ht="27.7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ht="27.7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ht="27.7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ht="27.7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ht="27.7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ht="27.7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ht="27.7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ht="27.7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ht="27.7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ht="27.7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ht="27.7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ht="27.7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ht="27.7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ht="27.7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ht="27.7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ht="27.7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ht="27.7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ht="27.7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ht="27.7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ht="27.7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ht="27.7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ht="27.7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ht="27.7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ht="27.7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ht="27.7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ht="27.7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ht="27.7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ht="27.7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ht="27.7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ht="27.7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ht="27.7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ht="27.7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ht="27.7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ht="27.7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ht="27.7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ht="27.7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ht="27.7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ht="27.7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ht="27.7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ht="27.7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ht="27.7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ht="27.7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ht="27.7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ht="27.7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ht="27.7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ht="27.7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ht="27.7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ht="27.7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ht="27.7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ht="27.7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ht="27.7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ht="27.7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ht="27.7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ht="27.7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ht="27.7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ht="27.7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ht="27.7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ht="27.7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ht="27.7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ht="27.7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ht="27.7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ht="27.7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ht="27.7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ht="27.7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ht="27.7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ht="27.7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ht="27.7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ht="27.7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ht="27.7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ht="27.7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ht="27.7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ht="27.7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ht="27.7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ht="27.7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ht="27.7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ht="27.7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ht="27.7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ht="27.7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ht="27.7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ht="27.7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ht="27.7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ht="27.7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ht="27.7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ht="27.7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ht="27.7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ht="27.7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ht="27.7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ht="27.7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ht="27.7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ht="27.7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ht="27.7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ht="27.7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ht="27.7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ht="27.7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ht="27.7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ht="27.7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ht="27.7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ht="27.7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ht="27.7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ht="27.7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ht="27.7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ht="27.7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ht="27.7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ht="27.7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ht="27.7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ht="27.7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ht="27.7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ht="27.7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ht="27.7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ht="27.7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ht="27.7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ht="27.7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ht="27.7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ht="27.7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ht="27.7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ht="27.7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ht="27.7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ht="27.7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ht="27.7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ht="27.7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ht="27.7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ht="27.7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ht="27.7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ht="27.7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ht="27.7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ht="27.7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ht="27.7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ht="27.7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ht="27.7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ht="27.7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ht="27.7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ht="27.7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ht="27.7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ht="27.7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ht="27.7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ht="27.7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ht="27.7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ht="27.7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ht="27.7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ht="27.7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ht="27.7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ht="27.7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ht="27.7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ht="27.7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ht="27.7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ht="27.7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ht="27.7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ht="27.7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ht="27.7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ht="27.7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ht="27.7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ht="27.7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ht="27.7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ht="27.7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ht="27.7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ht="27.7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ht="27.7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ht="27.7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ht="27.7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ht="27.7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ht="27.7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ht="27.7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ht="27.7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ht="27.7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ht="27.7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ht="27.7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ht="27.7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ht="27.7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ht="27.7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ht="27.7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ht="27.7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ht="27.7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ht="27.7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ht="27.7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ht="27.7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ht="27.7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ht="27.7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ht="27.7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ht="27.7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ht="27.7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ht="27.7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ht="27.7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ht="27.7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ht="27.7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ht="27.7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ht="27.7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ht="27.7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ht="27.7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ht="27.7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ht="27.7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ht="27.7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ht="27.7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ht="27.7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ht="27.7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ht="27.7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ht="27.7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ht="27.7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ht="27.7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ht="27.7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ht="27.7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ht="27.7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ht="27.7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ht="27.7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ht="27.7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ht="27.7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ht="27.7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ht="27.7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ht="27.7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ht="27.7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ht="27.7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ht="27.7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ht="27.7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ht="27.7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ht="27.7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ht="27.7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ht="27.7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ht="27.7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ht="27.7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ht="27.7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ht="27.7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ht="27.7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ht="27.7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ht="27.7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ht="27.7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ht="27.7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ht="27.7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ht="27.7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ht="27.7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ht="27.7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ht="27.7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ht="27.7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ht="27.7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ht="27.7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ht="27.7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ht="27.7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ht="27.7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ht="27.7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ht="27.7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ht="27.7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ht="27.7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ht="27.7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ht="27.7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ht="27.7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ht="27.7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ht="27.7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ht="27.7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ht="27.7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ht="27.7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ht="27.7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ht="27.7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ht="27.7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ht="27.7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ht="27.7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ht="27.7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ht="27.7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ht="27.7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ht="27.7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ht="27.7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ht="27.7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ht="27.7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ht="27.7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ht="27.7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ht="27.7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ht="27.7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ht="27.7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ht="27.7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ht="27.7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ht="27.7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ht="27.7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ht="27.7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ht="27.7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ht="27.7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ht="27.7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ht="27.7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ht="27.7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ht="27.7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ht="27.7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ht="27.7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ht="27.7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ht="27.7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ht="27.7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ht="27.7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ht="27.7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ht="27.7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ht="27.7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ht="27.7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ht="27.7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ht="27.7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ht="27.7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ht="27.7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ht="27.7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ht="27.7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ht="27.7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ht="27.7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ht="27.7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ht="27.7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ht="27.7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ht="27.7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ht="27.7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ht="27.7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ht="27.7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ht="27.7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ht="27.7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ht="27.7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ht="27.7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ht="27.7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ht="27.7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ht="27.7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ht="27.7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ht="27.7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ht="27.7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ht="27.7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ht="27.7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ht="27.7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ht="27.7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ht="27.7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ht="27.7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ht="27.7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ht="27.7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ht="27.7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ht="27.7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ht="27.7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ht="27.7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ht="27.7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ht="27.7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ht="27.7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ht="27.7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ht="27.7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ht="27.7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ht="27.7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ht="27.7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ht="27.7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ht="27.7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ht="27.7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ht="27.7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ht="27.7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ht="27.7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ht="27.7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ht="27.7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ht="27.7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ht="27.7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ht="27.7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ht="27.7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ht="27.7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ht="27.7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ht="27.7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ht="27.7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ht="27.7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ht="27.7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ht="27.7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ht="27.7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ht="27.7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ht="27.7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ht="27.7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ht="27.7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ht="27.7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0BCC-0ACE-4018-BC56-B3BF4D31F46D}">
  <dimension ref="A1:E2"/>
  <sheetViews>
    <sheetView workbookViewId="0">
      <selection activeCell="O2" sqref="O2"/>
    </sheetView>
  </sheetViews>
  <sheetFormatPr defaultRowHeight="15"/>
  <cols>
    <col min="1" max="1" width="15.85546875" customWidth="1"/>
    <col min="3" max="3" width="16.28515625" customWidth="1"/>
    <col min="5" max="5" width="16" customWidth="1"/>
  </cols>
  <sheetData>
    <row r="1" spans="1:5">
      <c r="A1" t="s">
        <v>62</v>
      </c>
      <c r="C1" t="s">
        <v>63</v>
      </c>
      <c r="E1" t="s">
        <v>64</v>
      </c>
    </row>
    <row r="2" spans="1:5" ht="14.25">
      <c r="A2" s="1">
        <v>1470</v>
      </c>
      <c r="C2" s="1">
        <v>237</v>
      </c>
      <c r="E2" s="3">
        <v>0.161224489795918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C46C-4DD6-4909-A927-81543D7D25A7}">
  <dimension ref="A1:D3"/>
  <sheetViews>
    <sheetView workbookViewId="0">
      <selection activeCell="B2" sqref="B2"/>
    </sheetView>
  </sheetViews>
  <sheetFormatPr defaultRowHeight="15"/>
  <cols>
    <col min="1" max="1" width="21.140625" customWidth="1"/>
    <col min="2" max="2" width="19.28515625" customWidth="1"/>
    <col min="3" max="3" width="21.140625" customWidth="1"/>
    <col min="4" max="4" width="21.42578125" customWidth="1"/>
  </cols>
  <sheetData>
    <row r="1" spans="1:4">
      <c r="A1" s="1" t="s">
        <v>37</v>
      </c>
      <c r="B1" s="1">
        <v>92</v>
      </c>
      <c r="C1" s="1">
        <v>446</v>
      </c>
      <c r="D1" s="3">
        <v>0.20627802690583</v>
      </c>
    </row>
    <row r="2" spans="1:4" ht="36.75" customHeight="1">
      <c r="A2" s="1" t="s">
        <v>61</v>
      </c>
      <c r="B2" s="1">
        <v>12</v>
      </c>
      <c r="C2" s="1">
        <v>63</v>
      </c>
      <c r="D2" s="3">
        <v>0.19047619047618999</v>
      </c>
    </row>
    <row r="3" spans="1:4" ht="34.5" customHeight="1">
      <c r="A3" s="1" t="s">
        <v>45</v>
      </c>
      <c r="B3" s="1">
        <v>133</v>
      </c>
      <c r="C3" s="1">
        <v>961</v>
      </c>
      <c r="D3" s="3">
        <v>0.138397502601457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6765-A6D2-4E12-A7E3-401ED8852778}">
  <dimension ref="E12:V12"/>
  <sheetViews>
    <sheetView topLeftCell="A11" workbookViewId="0">
      <selection activeCell="A20" sqref="A20"/>
    </sheetView>
  </sheetViews>
  <sheetFormatPr defaultRowHeight="15"/>
  <sheetData>
    <row r="12" spans="5:22" ht="17.25">
      <c r="E12" s="5" t="s">
        <v>62</v>
      </c>
      <c r="H12" s="6">
        <v>1470</v>
      </c>
      <c r="L12" s="5" t="s">
        <v>63</v>
      </c>
      <c r="O12" s="2">
        <v>237</v>
      </c>
      <c r="S12" s="5" t="s">
        <v>64</v>
      </c>
      <c r="V12" s="7">
        <v>0.161224489795918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5B6D-105C-42EE-A97D-07871865CAC1}">
  <dimension ref="A1:F25"/>
  <sheetViews>
    <sheetView workbookViewId="0">
      <selection activeCell="J21" sqref="J21"/>
    </sheetView>
  </sheetViews>
  <sheetFormatPr defaultRowHeight="15"/>
  <cols>
    <col min="4" max="4" width="15.7109375" customWidth="1"/>
    <col min="6" max="6" width="13.85546875" customWidth="1"/>
  </cols>
  <sheetData>
    <row r="1" spans="1:6">
      <c r="A1" s="1" t="s">
        <v>43</v>
      </c>
      <c r="B1" s="1">
        <v>1054</v>
      </c>
      <c r="C1" s="1">
        <v>110</v>
      </c>
      <c r="D1" s="1">
        <v>10.436432637571199</v>
      </c>
      <c r="E1" s="2" t="s">
        <v>43</v>
      </c>
      <c r="F1" s="1">
        <v>-652.08475648323497</v>
      </c>
    </row>
    <row r="2" spans="1:6">
      <c r="A2" s="1" t="s">
        <v>35</v>
      </c>
      <c r="B2" s="1">
        <v>416</v>
      </c>
      <c r="C2" s="1">
        <v>127</v>
      </c>
      <c r="D2" s="1">
        <v>30.528846153846199</v>
      </c>
      <c r="E2" s="2" t="s">
        <v>43</v>
      </c>
      <c r="F2" s="1">
        <v>-194.29487179487199</v>
      </c>
    </row>
    <row r="3" spans="1:6">
      <c r="A3" s="1" t="s">
        <v>43</v>
      </c>
      <c r="B3" s="1">
        <v>-222</v>
      </c>
      <c r="C3" s="1">
        <v>144</v>
      </c>
      <c r="D3" s="1">
        <v>50.621259670121198</v>
      </c>
      <c r="E3" s="2" t="s">
        <v>43</v>
      </c>
      <c r="F3" s="1">
        <v>263.49501289349502</v>
      </c>
    </row>
    <row r="4" spans="1:6">
      <c r="A4" s="1" t="s">
        <v>35</v>
      </c>
      <c r="B4" s="1">
        <v>-860</v>
      </c>
      <c r="C4" s="1">
        <v>161</v>
      </c>
      <c r="D4" s="1">
        <v>70.713673186396207</v>
      </c>
      <c r="E4" s="2" t="s">
        <v>43</v>
      </c>
      <c r="F4" s="1">
        <v>721.28489758185697</v>
      </c>
    </row>
    <row r="5" spans="1:6">
      <c r="A5" s="1" t="s">
        <v>43</v>
      </c>
      <c r="B5" s="1">
        <v>-1498</v>
      </c>
      <c r="C5" s="1">
        <v>178</v>
      </c>
      <c r="D5" s="1">
        <v>90.806086702671195</v>
      </c>
      <c r="E5" s="2" t="s">
        <v>43</v>
      </c>
      <c r="F5" s="1">
        <v>1179.0747822702299</v>
      </c>
    </row>
    <row r="6" spans="1:6">
      <c r="A6" s="1" t="s">
        <v>43</v>
      </c>
      <c r="B6" s="1">
        <v>-2136</v>
      </c>
      <c r="C6" s="1">
        <v>195</v>
      </c>
      <c r="D6" s="1">
        <v>110.898500218946</v>
      </c>
      <c r="E6" s="2" t="s">
        <v>43</v>
      </c>
      <c r="F6" s="1">
        <v>1636.8646669585701</v>
      </c>
    </row>
    <row r="7" spans="1:6">
      <c r="A7" s="1" t="s">
        <v>35</v>
      </c>
      <c r="B7" s="1">
        <v>-2774</v>
      </c>
      <c r="C7" s="1">
        <v>212</v>
      </c>
      <c r="D7" s="1">
        <v>130.990913735221</v>
      </c>
      <c r="E7" s="2" t="s">
        <v>43</v>
      </c>
      <c r="F7" s="1">
        <v>2094.65455164695</v>
      </c>
    </row>
    <row r="8" spans="1:6">
      <c r="A8" s="1" t="s">
        <v>43</v>
      </c>
      <c r="B8" s="1">
        <v>-3412</v>
      </c>
      <c r="C8" s="1">
        <v>229</v>
      </c>
      <c r="D8" s="1">
        <v>151.083327251496</v>
      </c>
      <c r="E8" s="2" t="s">
        <v>43</v>
      </c>
      <c r="F8" s="1">
        <v>2552.4444363353</v>
      </c>
    </row>
    <row r="9" spans="1:6">
      <c r="A9" s="1" t="s">
        <v>35</v>
      </c>
      <c r="B9" s="1">
        <v>-4050</v>
      </c>
      <c r="C9" s="1">
        <v>246</v>
      </c>
      <c r="D9" s="1">
        <v>171.175740767771</v>
      </c>
      <c r="E9" s="2" t="s">
        <v>43</v>
      </c>
      <c r="F9" s="1">
        <v>3010.23432102366</v>
      </c>
    </row>
    <row r="10" spans="1:6">
      <c r="A10" s="1" t="s">
        <v>43</v>
      </c>
      <c r="B10" s="1">
        <v>-4688</v>
      </c>
      <c r="C10" s="1">
        <v>263</v>
      </c>
      <c r="D10" s="1">
        <v>191.26815428404601</v>
      </c>
      <c r="E10" s="2" t="s">
        <v>43</v>
      </c>
      <c r="F10" s="1">
        <v>3468.0242057120299</v>
      </c>
    </row>
    <row r="11" spans="1:6">
      <c r="A11" s="1" t="s">
        <v>43</v>
      </c>
      <c r="B11" s="1">
        <v>-5326</v>
      </c>
      <c r="C11" s="1">
        <v>280</v>
      </c>
      <c r="D11" s="1">
        <v>211.36056780032101</v>
      </c>
      <c r="E11" s="2" t="s">
        <v>43</v>
      </c>
      <c r="F11" s="1">
        <v>3925.8140904003899</v>
      </c>
    </row>
    <row r="12" spans="1:6">
      <c r="A12" s="1" t="s">
        <v>35</v>
      </c>
      <c r="B12" s="1">
        <v>-5964</v>
      </c>
      <c r="C12" s="1">
        <v>297</v>
      </c>
      <c r="D12" s="1">
        <v>231.45298131659601</v>
      </c>
      <c r="E12" s="2" t="s">
        <v>43</v>
      </c>
      <c r="F12" s="1">
        <v>4383.6039750887503</v>
      </c>
    </row>
    <row r="13" spans="1:6">
      <c r="A13" s="1" t="s">
        <v>43</v>
      </c>
      <c r="B13" s="1">
        <v>-6602</v>
      </c>
      <c r="C13" s="1">
        <v>314</v>
      </c>
      <c r="D13" s="1">
        <v>251.54539483287101</v>
      </c>
      <c r="E13" s="2" t="s">
        <v>43</v>
      </c>
      <c r="F13" s="1">
        <v>4841.3938597771203</v>
      </c>
    </row>
    <row r="14" spans="1:6">
      <c r="A14" s="1" t="s">
        <v>35</v>
      </c>
      <c r="B14" s="1">
        <v>-7240</v>
      </c>
      <c r="C14" s="1">
        <v>331</v>
      </c>
      <c r="D14" s="1">
        <v>271.63780834914598</v>
      </c>
      <c r="E14" s="2" t="s">
        <v>43</v>
      </c>
      <c r="F14" s="1">
        <v>5299.1837444654902</v>
      </c>
    </row>
    <row r="15" spans="1:6">
      <c r="A15" s="1" t="s">
        <v>43</v>
      </c>
      <c r="B15" s="1">
        <v>-7878</v>
      </c>
      <c r="C15" s="1">
        <v>348</v>
      </c>
      <c r="D15" s="1">
        <v>291.73022186542102</v>
      </c>
      <c r="E15" s="2" t="s">
        <v>43</v>
      </c>
      <c r="F15" s="1">
        <v>5756.9736291538502</v>
      </c>
    </row>
    <row r="16" spans="1:6">
      <c r="A16" s="1" t="s">
        <v>43</v>
      </c>
      <c r="B16" s="1">
        <v>-8516</v>
      </c>
      <c r="C16" s="1">
        <v>365</v>
      </c>
      <c r="D16" s="1">
        <v>311.82263538169599</v>
      </c>
      <c r="E16" s="2" t="s">
        <v>43</v>
      </c>
      <c r="F16" s="1">
        <v>6214.7635138422102</v>
      </c>
    </row>
    <row r="17" spans="1:6">
      <c r="A17" s="1" t="s">
        <v>35</v>
      </c>
      <c r="B17" s="1">
        <v>-9154</v>
      </c>
      <c r="C17" s="1">
        <v>382</v>
      </c>
      <c r="D17" s="1">
        <v>331.91504889797102</v>
      </c>
      <c r="E17" s="2" t="s">
        <v>43</v>
      </c>
      <c r="F17" s="1">
        <v>6672.5533985305801</v>
      </c>
    </row>
    <row r="18" spans="1:6">
      <c r="A18" s="1" t="s">
        <v>43</v>
      </c>
      <c r="B18" s="1">
        <v>-9792</v>
      </c>
      <c r="C18" s="1">
        <v>399</v>
      </c>
      <c r="D18" s="1">
        <v>352.00746241424599</v>
      </c>
      <c r="E18" s="2" t="s">
        <v>43</v>
      </c>
      <c r="F18" s="1">
        <v>7130.3432832189401</v>
      </c>
    </row>
    <row r="19" spans="1:6">
      <c r="A19" s="1" t="s">
        <v>35</v>
      </c>
      <c r="B19" s="1">
        <v>-10430</v>
      </c>
      <c r="C19" s="1">
        <v>416</v>
      </c>
      <c r="D19" s="1">
        <v>372.09987593052102</v>
      </c>
      <c r="E19" s="2" t="s">
        <v>43</v>
      </c>
      <c r="F19" s="1">
        <v>7588.1331679073</v>
      </c>
    </row>
    <row r="20" spans="1:6">
      <c r="A20" s="1" t="s">
        <v>43</v>
      </c>
      <c r="B20" s="1">
        <v>-11068</v>
      </c>
      <c r="C20" s="1">
        <v>433</v>
      </c>
      <c r="D20" s="1">
        <v>392.192289446796</v>
      </c>
      <c r="E20" s="2" t="s">
        <v>43</v>
      </c>
      <c r="F20" s="1">
        <v>8045.92305259566</v>
      </c>
    </row>
    <row r="21" spans="1:6">
      <c r="A21" s="1" t="s">
        <v>43</v>
      </c>
      <c r="B21" s="1">
        <v>-11706</v>
      </c>
      <c r="C21" s="1">
        <v>450</v>
      </c>
      <c r="D21" s="1">
        <v>412.28470296307103</v>
      </c>
      <c r="E21" s="2" t="s">
        <v>43</v>
      </c>
      <c r="F21" s="1">
        <v>8503.7129372840209</v>
      </c>
    </row>
    <row r="22" spans="1:6">
      <c r="A22" s="1" t="s">
        <v>35</v>
      </c>
      <c r="B22" s="1">
        <v>-12344</v>
      </c>
      <c r="C22" s="1">
        <v>467</v>
      </c>
      <c r="D22" s="1">
        <v>432.377116479346</v>
      </c>
      <c r="E22" s="2" t="s">
        <v>43</v>
      </c>
      <c r="F22" s="1">
        <v>8961.5028219723808</v>
      </c>
    </row>
    <row r="23" spans="1:6">
      <c r="A23" s="1" t="s">
        <v>43</v>
      </c>
      <c r="B23" s="1">
        <v>-12982</v>
      </c>
      <c r="C23" s="1">
        <v>484</v>
      </c>
      <c r="D23" s="1">
        <v>452.46952999562097</v>
      </c>
      <c r="E23" s="2" t="s">
        <v>43</v>
      </c>
      <c r="F23" s="1">
        <v>9419.2927066607608</v>
      </c>
    </row>
    <row r="24" spans="1:6">
      <c r="A24" s="1" t="s">
        <v>35</v>
      </c>
      <c r="B24" s="1">
        <v>-13620</v>
      </c>
      <c r="C24" s="1">
        <v>501</v>
      </c>
      <c r="D24" s="1">
        <v>472.561943511896</v>
      </c>
      <c r="E24" s="2" t="s">
        <v>43</v>
      </c>
      <c r="F24" s="1">
        <v>9877.0825913490607</v>
      </c>
    </row>
    <row r="25" spans="1:6">
      <c r="A25" s="1" t="s">
        <v>43</v>
      </c>
      <c r="B25" s="1">
        <v>-14258</v>
      </c>
      <c r="C25" s="1">
        <v>518</v>
      </c>
      <c r="D25" s="1">
        <v>492.65435702817098</v>
      </c>
      <c r="E25" s="2" t="s">
        <v>43</v>
      </c>
      <c r="F25" s="1">
        <v>10334.872476037501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3A8C-3684-4D60-A500-F38DC5D2D962}">
  <dimension ref="A1:B2"/>
  <sheetViews>
    <sheetView topLeftCell="A12" workbookViewId="0">
      <selection activeCell="H30" sqref="H30"/>
    </sheetView>
  </sheetViews>
  <sheetFormatPr defaultRowHeight="15"/>
  <cols>
    <col min="2" max="2" width="17.85546875" style="4" customWidth="1"/>
  </cols>
  <sheetData>
    <row r="1" spans="1:2">
      <c r="A1" s="1" t="s">
        <v>43</v>
      </c>
      <c r="B1" s="3">
        <v>0.104364326375712</v>
      </c>
    </row>
    <row r="2" spans="1:2">
      <c r="A2" s="1" t="s">
        <v>35</v>
      </c>
      <c r="B2" s="3">
        <v>0.30528846153846201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420F-1566-4B45-A7CC-F823B7D85747}">
  <dimension ref="A1:B9"/>
  <sheetViews>
    <sheetView topLeftCell="C9" workbookViewId="0">
      <selection activeCell="P26" sqref="P26"/>
    </sheetView>
  </sheetViews>
  <sheetFormatPr defaultRowHeight="15"/>
  <cols>
    <col min="1" max="1" width="24" customWidth="1"/>
    <col min="2" max="2" width="16.85546875" style="4" customWidth="1"/>
  </cols>
  <sheetData>
    <row r="1" spans="1:2" ht="23.25" customHeight="1">
      <c r="A1" s="1" t="s">
        <v>57</v>
      </c>
      <c r="B1" s="3">
        <v>0.39759036144578302</v>
      </c>
    </row>
    <row r="2" spans="1:2" ht="24.75" customHeight="1">
      <c r="A2" s="1" t="s">
        <v>50</v>
      </c>
      <c r="B2" s="3">
        <v>0.23938223938223899</v>
      </c>
    </row>
    <row r="3" spans="1:2">
      <c r="A3" s="1" t="s">
        <v>61</v>
      </c>
      <c r="B3" s="3">
        <v>0.230769230769231</v>
      </c>
    </row>
    <row r="4" spans="1:2">
      <c r="A4" s="1" t="s">
        <v>40</v>
      </c>
      <c r="B4" s="3">
        <v>0.17484662576687099</v>
      </c>
    </row>
    <row r="5" spans="1:2">
      <c r="A5" s="1" t="s">
        <v>47</v>
      </c>
      <c r="B5" s="3">
        <v>0.16095890410958899</v>
      </c>
    </row>
    <row r="6" spans="1:2" ht="28.5" customHeight="1">
      <c r="A6" s="1" t="s">
        <v>53</v>
      </c>
      <c r="B6" s="3">
        <v>6.8965517241379296E-2</v>
      </c>
    </row>
    <row r="7" spans="1:2" ht="34.5" customHeight="1">
      <c r="A7" s="1" t="s">
        <v>54</v>
      </c>
      <c r="B7" s="3">
        <v>6.8702290076335895E-2</v>
      </c>
    </row>
    <row r="8" spans="1:2" ht="19.5" customHeight="1">
      <c r="A8" s="1" t="s">
        <v>56</v>
      </c>
      <c r="B8" s="3">
        <v>4.9019607843137303E-2</v>
      </c>
    </row>
    <row r="9" spans="1:2" ht="20.25" customHeight="1">
      <c r="A9" s="1" t="s">
        <v>58</v>
      </c>
      <c r="B9" s="3">
        <v>2.5000000000000001E-2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0D13-A684-4CD2-83B0-11F7CA77BEF6}">
  <dimension ref="A3:E8"/>
  <sheetViews>
    <sheetView tabSelected="1" workbookViewId="0">
      <selection activeCell="E7" activeCellId="7" sqref="A4 A5 A6 A7 E4 E5 E6 E7"/>
    </sheetView>
  </sheetViews>
  <sheetFormatPr defaultRowHeight="15"/>
  <cols>
    <col min="1" max="1" width="25.85546875" bestFit="1" customWidth="1"/>
    <col min="2" max="2" width="12" bestFit="1" customWidth="1"/>
    <col min="3" max="3" width="4.42578125" customWidth="1"/>
    <col min="4" max="4" width="11.7109375" bestFit="1" customWidth="1"/>
    <col min="5" max="5" width="17.28515625" style="4" customWidth="1"/>
  </cols>
  <sheetData>
    <row r="3" spans="1:5">
      <c r="A3" s="8" t="s">
        <v>65</v>
      </c>
      <c r="B3" s="8" t="s">
        <v>1</v>
      </c>
    </row>
    <row r="4" spans="1:5">
      <c r="A4" s="8" t="s">
        <v>4</v>
      </c>
      <c r="B4" t="s">
        <v>43</v>
      </c>
      <c r="C4" t="s">
        <v>35</v>
      </c>
      <c r="D4" t="s">
        <v>66</v>
      </c>
      <c r="E4" s="4" t="s">
        <v>64</v>
      </c>
    </row>
    <row r="5" spans="1:5">
      <c r="A5" t="s">
        <v>61</v>
      </c>
      <c r="B5">
        <v>51</v>
      </c>
      <c r="C5">
        <v>12</v>
      </c>
      <c r="D5">
        <v>63</v>
      </c>
      <c r="E5" s="4">
        <f t="shared" ref="E5:E8" si="0" xml:space="preserve"> C5 / D5</f>
        <v>0.19047619047619047</v>
      </c>
    </row>
    <row r="6" spans="1:5">
      <c r="A6" t="s">
        <v>45</v>
      </c>
      <c r="B6">
        <v>828</v>
      </c>
      <c r="C6">
        <v>133</v>
      </c>
      <c r="D6">
        <v>961</v>
      </c>
      <c r="E6" s="4">
        <f t="shared" si="0"/>
        <v>0.13839750260145681</v>
      </c>
    </row>
    <row r="7" spans="1:5">
      <c r="A7" t="s">
        <v>37</v>
      </c>
      <c r="B7">
        <v>354</v>
      </c>
      <c r="C7">
        <v>92</v>
      </c>
      <c r="D7">
        <v>446</v>
      </c>
      <c r="E7" s="4">
        <f t="shared" si="0"/>
        <v>0.20627802690582961</v>
      </c>
    </row>
    <row r="8" spans="1:5">
      <c r="A8" t="s">
        <v>66</v>
      </c>
      <c r="B8">
        <v>1233</v>
      </c>
      <c r="C8">
        <v>237</v>
      </c>
      <c r="D8">
        <v>1470</v>
      </c>
      <c r="E8" s="4">
        <f t="shared" si="0"/>
        <v>0.16122448979591836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2026-04-09T06:49:35Z</dcterms:created>
  <dcterms:modified xsi:type="dcterms:W3CDTF">2026-04-16T03:08:55Z</dcterms:modified>
  <cp:category/>
  <cp:contentStatus/>
</cp:coreProperties>
</file>